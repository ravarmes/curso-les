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eu Drive\Disciplinas\Sistemas de Informação\LES\2025-1\Processo\Artefatos\"/>
    </mc:Choice>
  </mc:AlternateContent>
  <xr:revisionPtr revIDLastSave="0" documentId="13_ncr:1_{962D2A1D-68ED-4A0F-96D5-1FA4EF219C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J24" i="1" l="1"/>
  <c r="J3" i="1"/>
  <c r="B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 Vargas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Regra de Negócio 1</t>
        </r>
      </text>
    </comment>
    <comment ref="G2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Regra de Negócio 2</t>
        </r>
      </text>
    </comment>
    <comment ref="H2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Regra de Negócio 3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Regra de Negócio 4</t>
        </r>
      </text>
    </comment>
    <comment ref="F15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Regra de Negócio 1</t>
        </r>
      </text>
    </comment>
    <comment ref="G15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Regra de Negócio 2</t>
        </r>
      </text>
    </comment>
    <comment ref="H15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Regra de Negócio 3</t>
        </r>
      </text>
    </comment>
    <comment ref="I15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Regra de Negócio 4</t>
        </r>
      </text>
    </comment>
    <comment ref="F16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Verificar se o cliente é devedor</t>
        </r>
      </text>
    </comment>
    <comment ref="G16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Verificar se alguma fita do empréstimo possui reserva em aberto</t>
        </r>
      </text>
    </comment>
    <comment ref="F17" authorId="0" shapeId="0" xr:uid="{2585715C-646A-481C-90E3-9063DA25C62C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Verificar se o cliente é devedor</t>
        </r>
      </text>
    </comment>
    <comment ref="G17" authorId="0" shapeId="0" xr:uid="{729F437C-DA73-46C5-82C7-3DA6FEAADA86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Verificar se o cliente já possui três reservas em aberto</t>
        </r>
      </text>
    </comment>
    <comment ref="F21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Verificar se login e senha correspondem</t>
        </r>
      </text>
    </comment>
    <comment ref="B23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Listagem Específica 1</t>
        </r>
      </text>
    </comment>
    <comment ref="C23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Listagem Específica 2</t>
        </r>
      </text>
    </comment>
    <comment ref="D23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Listagem Específica 3</t>
        </r>
      </text>
    </comment>
    <comment ref="E23" authorId="0" shapeId="0" xr:uid="{00000000-0006-0000-0000-000010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Listagem Específica 4</t>
        </r>
      </text>
    </comment>
    <comment ref="F23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Listagem Específica 5</t>
        </r>
      </text>
    </comment>
    <comment ref="G23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Listagem Específica 6</t>
        </r>
      </text>
    </comment>
    <comment ref="H23" authorId="0" shapeId="0" xr:uid="{00000000-0006-0000-0000-000013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Listagem Específica 7</t>
        </r>
      </text>
    </comment>
    <comment ref="I23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Listagem Específica 8</t>
        </r>
      </text>
    </comment>
    <comment ref="B24" authorId="0" shapeId="0" xr:uid="{00000000-0006-0000-0000-000015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Totais de empréstimos por ano e mês</t>
        </r>
      </text>
    </comment>
    <comment ref="C24" authorId="0" shapeId="0" xr:uid="{00000000-0006-0000-0000-000016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Totais de empréstimos por cliente em um período</t>
        </r>
      </text>
    </comment>
    <comment ref="D24" authorId="0" shapeId="0" xr:uid="{00000000-0006-0000-0000-000017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Quantidade de empréstimos por cliente em um período</t>
        </r>
      </text>
    </comment>
    <comment ref="E24" authorId="0" shapeId="0" xr:uid="{00000000-0006-0000-0000-000018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Quantidade de empréstimos por cada uma das fitas</t>
        </r>
      </text>
    </comment>
    <comment ref="F24" authorId="0" shapeId="0" xr:uid="{00000000-0006-0000-0000-000019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Quantidade de empréstimos por cada um dos bairros</t>
        </r>
      </text>
    </comment>
    <comment ref="B25" authorId="0" shapeId="0" xr:uid="{00000000-0006-0000-0000-00001A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Listar Reservas (Por Cliente, Status, Data Início e Data Término)</t>
        </r>
      </text>
    </comment>
    <comment ref="C25" authorId="0" shapeId="0" xr:uid="{00000000-0006-0000-0000-00001B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Listar Quantidades de Reservas de Clientes (Por Status, Início e Término)</t>
        </r>
      </text>
    </comment>
    <comment ref="B26" authorId="0" shapeId="0" xr:uid="{00000000-0006-0000-0000-00001C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Listar Devoluções (Por Cliente, Filme, Data Início e Data Término)</t>
        </r>
      </text>
    </comment>
    <comment ref="C26" authorId="0" shapeId="0" xr:uid="{00000000-0006-0000-0000-00001D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Listar Quantidades de Devoluções de Clientes (Por Filme, Data Início e Data Término)</t>
        </r>
      </text>
    </comment>
    <comment ref="B27" authorId="0" shapeId="0" xr:uid="{00000000-0006-0000-0000-00001E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Tipos de filmes com preços maiores </t>
        </r>
      </text>
    </comment>
    <comment ref="B28" authorId="0" shapeId="0" xr:uid="{00000000-0006-0000-0000-00001F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Listar Filmes (Por Tipo de Filme)</t>
        </r>
      </text>
    </comment>
    <comment ref="B29" authorId="0" shapeId="0" xr:uid="{00000000-0006-0000-0000-000020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Listar Fitas (Por Tipo de Filme e Filme)</t>
        </r>
      </text>
    </comment>
    <comment ref="C29" authorId="0" shapeId="0" xr:uid="{00000000-0006-0000-0000-000021000000}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Listar fitas por danificação e disponibilidade</t>
        </r>
      </text>
    </comment>
  </commentList>
</comments>
</file>

<file path=xl/sharedStrings.xml><?xml version="1.0" encoding="utf-8"?>
<sst xmlns="http://schemas.openxmlformats.org/spreadsheetml/2006/main" count="57" uniqueCount="39">
  <si>
    <t>Manutenção de Cadastros</t>
  </si>
  <si>
    <t>Conceito</t>
  </si>
  <si>
    <t>Gerente</t>
  </si>
  <si>
    <t>Funcionário</t>
  </si>
  <si>
    <t>Cliente</t>
  </si>
  <si>
    <t>UF</t>
  </si>
  <si>
    <t>Cidade</t>
  </si>
  <si>
    <t>Bairro</t>
  </si>
  <si>
    <t>Tipo de Filme</t>
  </si>
  <si>
    <t>Filme</t>
  </si>
  <si>
    <t>Fita</t>
  </si>
  <si>
    <t>Inserir</t>
  </si>
  <si>
    <t>Alterar</t>
  </si>
  <si>
    <t>Remover</t>
  </si>
  <si>
    <t>Empréstimo</t>
  </si>
  <si>
    <t>Reserva</t>
  </si>
  <si>
    <t>Devolução</t>
  </si>
  <si>
    <t>Pagamento de Multa</t>
  </si>
  <si>
    <t>Regra Neg. 1</t>
  </si>
  <si>
    <t>Regra Neg. 2</t>
  </si>
  <si>
    <t>Regra Neg. 3</t>
  </si>
  <si>
    <t>Listar Todos</t>
  </si>
  <si>
    <t>List. Espec. 1</t>
  </si>
  <si>
    <t>List. Espec. 2</t>
  </si>
  <si>
    <t>List. Espec. 3</t>
  </si>
  <si>
    <t>List. Espec. 4</t>
  </si>
  <si>
    <t>List. Espec. 5</t>
  </si>
  <si>
    <t>List. Espec. 6</t>
  </si>
  <si>
    <t>List. Espec. 7</t>
  </si>
  <si>
    <t>List. Espec. 8</t>
  </si>
  <si>
    <t>Total de Transações</t>
  </si>
  <si>
    <t>Total</t>
  </si>
  <si>
    <t>Relatórios</t>
  </si>
  <si>
    <t>Processos de Negócio</t>
  </si>
  <si>
    <t>Regra Neg. 4</t>
  </si>
  <si>
    <t>Artista</t>
  </si>
  <si>
    <t>Diretor</t>
  </si>
  <si>
    <t>Entra no Sistema</t>
  </si>
  <si>
    <t>Atualizar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</si>
</sst>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Normal="100" workbookViewId="0">
      <selection sqref="A1:I1"/>
    </sheetView>
  </sheetViews>
  <sheetFormatPr defaultRowHeight="14.4" x14ac:dyDescent="0.3"/>
  <cols>
    <col min="1" max="1" width="19.5546875" bestFit="1" customWidth="1"/>
    <col min="2" max="4" width="12" bestFit="1" customWidth="1"/>
    <col min="5" max="5" width="11.44140625" bestFit="1" customWidth="1"/>
    <col min="6" max="9" width="12" bestFit="1" customWidth="1"/>
  </cols>
  <sheetData>
    <row r="1" spans="1:10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3" t="s">
        <v>31</v>
      </c>
    </row>
    <row r="2" spans="1:10" x14ac:dyDescent="0.3">
      <c r="A2" s="7" t="s">
        <v>1</v>
      </c>
      <c r="B2" s="3" t="s">
        <v>11</v>
      </c>
      <c r="C2" s="3" t="s">
        <v>12</v>
      </c>
      <c r="D2" s="3" t="s">
        <v>13</v>
      </c>
      <c r="E2" s="3" t="s">
        <v>21</v>
      </c>
      <c r="F2" s="8" t="s">
        <v>18</v>
      </c>
      <c r="G2" s="8" t="s">
        <v>19</v>
      </c>
      <c r="H2" s="8" t="s">
        <v>20</v>
      </c>
      <c r="I2" s="8" t="s">
        <v>34</v>
      </c>
      <c r="J2" s="13"/>
    </row>
    <row r="3" spans="1:10" x14ac:dyDescent="0.3">
      <c r="A3" s="1" t="s">
        <v>2</v>
      </c>
      <c r="B3" s="1">
        <v>1</v>
      </c>
      <c r="C3" s="1">
        <v>1</v>
      </c>
      <c r="D3" s="1">
        <v>1</v>
      </c>
      <c r="E3" s="1">
        <v>1</v>
      </c>
      <c r="F3" s="1"/>
      <c r="G3" s="1"/>
      <c r="H3" s="1"/>
      <c r="I3" s="1"/>
      <c r="J3" s="9">
        <f>SUM(B3:I13)</f>
        <v>44</v>
      </c>
    </row>
    <row r="4" spans="1:10" x14ac:dyDescent="0.3">
      <c r="A4" s="1" t="s">
        <v>3</v>
      </c>
      <c r="B4" s="1">
        <v>1</v>
      </c>
      <c r="C4" s="1">
        <v>1</v>
      </c>
      <c r="D4" s="1">
        <v>1</v>
      </c>
      <c r="E4" s="1">
        <v>1</v>
      </c>
      <c r="F4" s="1"/>
      <c r="G4" s="1"/>
      <c r="H4" s="1"/>
      <c r="I4" s="1"/>
      <c r="J4" s="10"/>
    </row>
    <row r="5" spans="1:10" x14ac:dyDescent="0.3">
      <c r="A5" s="1" t="s">
        <v>4</v>
      </c>
      <c r="B5" s="1">
        <v>1</v>
      </c>
      <c r="C5" s="1">
        <v>1</v>
      </c>
      <c r="D5" s="1">
        <v>1</v>
      </c>
      <c r="E5" s="1">
        <v>1</v>
      </c>
      <c r="F5" s="1"/>
      <c r="G5" s="1"/>
      <c r="H5" s="1"/>
      <c r="I5" s="1"/>
      <c r="J5" s="10"/>
    </row>
    <row r="6" spans="1:10" x14ac:dyDescent="0.3">
      <c r="A6" s="1" t="s">
        <v>5</v>
      </c>
      <c r="B6" s="1">
        <v>1</v>
      </c>
      <c r="C6" s="1">
        <v>1</v>
      </c>
      <c r="D6" s="1">
        <v>1</v>
      </c>
      <c r="E6" s="1">
        <v>1</v>
      </c>
      <c r="F6" s="1"/>
      <c r="G6" s="1"/>
      <c r="H6" s="1"/>
      <c r="I6" s="1"/>
      <c r="J6" s="10"/>
    </row>
    <row r="7" spans="1:10" x14ac:dyDescent="0.3">
      <c r="A7" s="1" t="s">
        <v>6</v>
      </c>
      <c r="B7" s="1">
        <v>1</v>
      </c>
      <c r="C7" s="1">
        <v>1</v>
      </c>
      <c r="D7" s="1">
        <v>1</v>
      </c>
      <c r="E7" s="1">
        <v>1</v>
      </c>
      <c r="F7" s="1"/>
      <c r="G7" s="1"/>
      <c r="H7" s="1"/>
      <c r="I7" s="1"/>
      <c r="J7" s="10"/>
    </row>
    <row r="8" spans="1:10" x14ac:dyDescent="0.3">
      <c r="A8" s="1" t="s">
        <v>7</v>
      </c>
      <c r="B8" s="1">
        <v>1</v>
      </c>
      <c r="C8" s="1">
        <v>1</v>
      </c>
      <c r="D8" s="1">
        <v>1</v>
      </c>
      <c r="E8" s="1">
        <v>1</v>
      </c>
      <c r="F8" s="1"/>
      <c r="G8" s="1"/>
      <c r="H8" s="1"/>
      <c r="I8" s="1"/>
      <c r="J8" s="10"/>
    </row>
    <row r="9" spans="1:10" x14ac:dyDescent="0.3">
      <c r="A9" s="1" t="s">
        <v>8</v>
      </c>
      <c r="B9" s="1">
        <v>1</v>
      </c>
      <c r="C9" s="1">
        <v>1</v>
      </c>
      <c r="D9" s="1">
        <v>1</v>
      </c>
      <c r="E9" s="1">
        <v>1</v>
      </c>
      <c r="F9" s="1"/>
      <c r="G9" s="1"/>
      <c r="H9" s="1"/>
      <c r="I9" s="1"/>
      <c r="J9" s="10"/>
    </row>
    <row r="10" spans="1:10" x14ac:dyDescent="0.3">
      <c r="A10" s="1" t="s">
        <v>9</v>
      </c>
      <c r="B10" s="1">
        <v>1</v>
      </c>
      <c r="C10" s="1">
        <v>1</v>
      </c>
      <c r="D10" s="1">
        <v>1</v>
      </c>
      <c r="E10" s="1">
        <v>1</v>
      </c>
      <c r="F10" s="1"/>
      <c r="G10" s="1"/>
      <c r="H10" s="1"/>
      <c r="I10" s="1"/>
      <c r="J10" s="10"/>
    </row>
    <row r="11" spans="1:10" x14ac:dyDescent="0.3">
      <c r="A11" s="1" t="s">
        <v>10</v>
      </c>
      <c r="B11" s="1">
        <v>1</v>
      </c>
      <c r="C11" s="1">
        <v>1</v>
      </c>
      <c r="D11" s="1">
        <v>1</v>
      </c>
      <c r="E11" s="1">
        <v>1</v>
      </c>
      <c r="F11" s="1"/>
      <c r="G11" s="1"/>
      <c r="H11" s="1"/>
      <c r="I11" s="1"/>
      <c r="J11" s="10"/>
    </row>
    <row r="12" spans="1:10" x14ac:dyDescent="0.3">
      <c r="A12" s="1" t="s">
        <v>35</v>
      </c>
      <c r="B12" s="1">
        <v>1</v>
      </c>
      <c r="C12" s="1">
        <v>1</v>
      </c>
      <c r="D12" s="1">
        <v>1</v>
      </c>
      <c r="E12" s="1">
        <v>1</v>
      </c>
      <c r="F12" s="1"/>
      <c r="G12" s="1"/>
      <c r="H12" s="1"/>
      <c r="I12" s="1"/>
      <c r="J12" s="10"/>
    </row>
    <row r="13" spans="1:10" x14ac:dyDescent="0.3">
      <c r="A13" s="1" t="s">
        <v>36</v>
      </c>
      <c r="B13" s="1">
        <v>1</v>
      </c>
      <c r="C13" s="1">
        <v>1</v>
      </c>
      <c r="D13" s="1">
        <v>1</v>
      </c>
      <c r="E13" s="1">
        <v>1</v>
      </c>
      <c r="F13" s="1"/>
      <c r="G13" s="1"/>
      <c r="H13" s="1"/>
      <c r="I13" s="1"/>
      <c r="J13" s="11"/>
    </row>
    <row r="14" spans="1:10" x14ac:dyDescent="0.3">
      <c r="A14" s="12" t="s">
        <v>33</v>
      </c>
      <c r="B14" s="12"/>
      <c r="C14" s="12"/>
      <c r="D14" s="12"/>
      <c r="E14" s="12"/>
      <c r="F14" s="12"/>
      <c r="G14" s="12"/>
      <c r="H14" s="12"/>
      <c r="I14" s="12"/>
      <c r="J14" s="13" t="s">
        <v>31</v>
      </c>
    </row>
    <row r="15" spans="1:10" x14ac:dyDescent="0.3">
      <c r="A15" s="2" t="s">
        <v>1</v>
      </c>
      <c r="B15" s="3" t="s">
        <v>11</v>
      </c>
      <c r="C15" s="3" t="s">
        <v>12</v>
      </c>
      <c r="D15" s="3" t="s">
        <v>13</v>
      </c>
      <c r="E15" s="3" t="s">
        <v>21</v>
      </c>
      <c r="F15" s="8" t="s">
        <v>18</v>
      </c>
      <c r="G15" s="8" t="s">
        <v>19</v>
      </c>
      <c r="H15" s="8" t="s">
        <v>20</v>
      </c>
      <c r="I15" s="8" t="s">
        <v>34</v>
      </c>
      <c r="J15" s="13"/>
    </row>
    <row r="16" spans="1:10" x14ac:dyDescent="0.3">
      <c r="A16" s="1" t="s">
        <v>14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/>
      <c r="I16" s="1"/>
      <c r="J16" s="9">
        <f>SUM(B16:I21)</f>
        <v>22</v>
      </c>
    </row>
    <row r="17" spans="1:10" x14ac:dyDescent="0.3">
      <c r="A17" s="1" t="s">
        <v>15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/>
      <c r="I17" s="1"/>
      <c r="J17" s="10"/>
    </row>
    <row r="18" spans="1:10" x14ac:dyDescent="0.3">
      <c r="A18" s="1" t="s">
        <v>16</v>
      </c>
      <c r="B18" s="1">
        <v>1</v>
      </c>
      <c r="C18" s="1">
        <v>1</v>
      </c>
      <c r="D18" s="1">
        <v>1</v>
      </c>
      <c r="E18" s="1">
        <v>1</v>
      </c>
      <c r="F18" s="1"/>
      <c r="G18" s="1"/>
      <c r="H18" s="1"/>
      <c r="I18" s="1"/>
      <c r="J18" s="10"/>
    </row>
    <row r="19" spans="1:10" x14ac:dyDescent="0.3">
      <c r="A19" s="1" t="s">
        <v>17</v>
      </c>
      <c r="B19" s="1">
        <v>1</v>
      </c>
      <c r="C19" s="1">
        <v>1</v>
      </c>
      <c r="D19" s="1">
        <v>1</v>
      </c>
      <c r="E19" s="1">
        <v>1</v>
      </c>
      <c r="F19" s="1"/>
      <c r="G19" s="1"/>
      <c r="H19" s="1"/>
      <c r="I19" s="1"/>
      <c r="J19" s="10"/>
    </row>
    <row r="20" spans="1:10" x14ac:dyDescent="0.3">
      <c r="A20" s="1" t="s">
        <v>38</v>
      </c>
      <c r="B20" s="1"/>
      <c r="C20" s="1">
        <v>1</v>
      </c>
      <c r="D20" s="1"/>
      <c r="E20" s="1"/>
      <c r="F20" s="1"/>
      <c r="G20" s="1"/>
      <c r="H20" s="1"/>
      <c r="I20" s="1"/>
      <c r="J20" s="10"/>
    </row>
    <row r="21" spans="1:10" x14ac:dyDescent="0.3">
      <c r="A21" s="1" t="s">
        <v>37</v>
      </c>
      <c r="B21" s="1"/>
      <c r="C21" s="1"/>
      <c r="D21" s="1"/>
      <c r="E21" s="1"/>
      <c r="F21" s="1">
        <v>1</v>
      </c>
      <c r="G21" s="1"/>
      <c r="H21" s="1"/>
      <c r="I21" s="1"/>
      <c r="J21" s="11"/>
    </row>
    <row r="22" spans="1:10" x14ac:dyDescent="0.3">
      <c r="A22" s="12" t="s">
        <v>32</v>
      </c>
      <c r="B22" s="12"/>
      <c r="C22" s="12"/>
      <c r="D22" s="12"/>
      <c r="E22" s="12"/>
      <c r="F22" s="12"/>
      <c r="G22" s="12"/>
      <c r="H22" s="12"/>
      <c r="I22" s="12"/>
      <c r="J22" s="13" t="s">
        <v>31</v>
      </c>
    </row>
    <row r="23" spans="1:10" x14ac:dyDescent="0.3">
      <c r="A23" s="2" t="s">
        <v>1</v>
      </c>
      <c r="B23" s="6" t="s">
        <v>22</v>
      </c>
      <c r="C23" s="6" t="s">
        <v>23</v>
      </c>
      <c r="D23" s="6" t="s">
        <v>24</v>
      </c>
      <c r="E23" s="6" t="s">
        <v>25</v>
      </c>
      <c r="F23" s="6" t="s">
        <v>26</v>
      </c>
      <c r="G23" s="6" t="s">
        <v>27</v>
      </c>
      <c r="H23" s="6" t="s">
        <v>28</v>
      </c>
      <c r="I23" s="6" t="s">
        <v>29</v>
      </c>
      <c r="J23" s="13"/>
    </row>
    <row r="24" spans="1:10" x14ac:dyDescent="0.3">
      <c r="A24" s="4" t="s">
        <v>14</v>
      </c>
      <c r="B24" s="5">
        <v>1</v>
      </c>
      <c r="C24" s="5">
        <v>1</v>
      </c>
      <c r="D24" s="5">
        <v>1</v>
      </c>
      <c r="E24" s="5">
        <v>1</v>
      </c>
      <c r="F24" s="5">
        <v>1</v>
      </c>
      <c r="G24" s="5"/>
      <c r="H24" s="5"/>
      <c r="I24" s="5"/>
      <c r="J24" s="9">
        <f>SUM(B24:I29)</f>
        <v>13</v>
      </c>
    </row>
    <row r="25" spans="1:10" x14ac:dyDescent="0.3">
      <c r="A25" s="4" t="s">
        <v>15</v>
      </c>
      <c r="B25" s="5">
        <v>1</v>
      </c>
      <c r="C25" s="5">
        <v>1</v>
      </c>
      <c r="D25" s="5"/>
      <c r="E25" s="5"/>
      <c r="F25" s="5"/>
      <c r="G25" s="5"/>
      <c r="H25" s="5"/>
      <c r="I25" s="5"/>
      <c r="J25" s="10"/>
    </row>
    <row r="26" spans="1:10" x14ac:dyDescent="0.3">
      <c r="A26" s="4" t="s">
        <v>16</v>
      </c>
      <c r="B26" s="5">
        <v>1</v>
      </c>
      <c r="C26" s="5">
        <v>1</v>
      </c>
      <c r="D26" s="5"/>
      <c r="E26" s="5"/>
      <c r="F26" s="5"/>
      <c r="G26" s="5"/>
      <c r="H26" s="5"/>
      <c r="I26" s="5"/>
      <c r="J26" s="10"/>
    </row>
    <row r="27" spans="1:10" x14ac:dyDescent="0.3">
      <c r="A27" s="4" t="s">
        <v>8</v>
      </c>
      <c r="B27" s="1">
        <v>1</v>
      </c>
      <c r="C27" s="1"/>
      <c r="D27" s="5"/>
      <c r="E27" s="5"/>
      <c r="F27" s="5"/>
      <c r="G27" s="5"/>
      <c r="H27" s="5"/>
      <c r="I27" s="5"/>
      <c r="J27" s="10"/>
    </row>
    <row r="28" spans="1:10" x14ac:dyDescent="0.3">
      <c r="A28" s="4" t="s">
        <v>9</v>
      </c>
      <c r="B28" s="1">
        <v>1</v>
      </c>
      <c r="C28" s="1"/>
      <c r="D28" s="5"/>
      <c r="E28" s="5"/>
      <c r="F28" s="5"/>
      <c r="G28" s="5"/>
      <c r="H28" s="5"/>
      <c r="I28" s="5"/>
      <c r="J28" s="10"/>
    </row>
    <row r="29" spans="1:10" x14ac:dyDescent="0.3">
      <c r="A29" s="4" t="s">
        <v>10</v>
      </c>
      <c r="B29" s="1">
        <v>1</v>
      </c>
      <c r="C29" s="1">
        <v>1</v>
      </c>
      <c r="D29" s="5"/>
      <c r="E29" s="5"/>
      <c r="F29" s="5"/>
      <c r="G29" s="5"/>
      <c r="H29" s="5"/>
      <c r="I29" s="5"/>
      <c r="J29" s="11"/>
    </row>
    <row r="31" spans="1:10" x14ac:dyDescent="0.3">
      <c r="A31" s="2" t="s">
        <v>30</v>
      </c>
      <c r="B31" s="2">
        <f>J3+J16+J24</f>
        <v>79</v>
      </c>
    </row>
  </sheetData>
  <mergeCells count="9">
    <mergeCell ref="J24:J29"/>
    <mergeCell ref="A22:I22"/>
    <mergeCell ref="A1:I1"/>
    <mergeCell ref="A14:I14"/>
    <mergeCell ref="J1:J2"/>
    <mergeCell ref="J14:J15"/>
    <mergeCell ref="J22:J23"/>
    <mergeCell ref="J3:J13"/>
    <mergeCell ref="J16:J21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Vargas</dc:creator>
  <cp:lastModifiedBy>Rafael Vargas</cp:lastModifiedBy>
  <dcterms:created xsi:type="dcterms:W3CDTF">2020-02-15T02:04:38Z</dcterms:created>
  <dcterms:modified xsi:type="dcterms:W3CDTF">2025-02-02T11:13:46Z</dcterms:modified>
</cp:coreProperties>
</file>